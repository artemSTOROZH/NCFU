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8800" windowHeight="12180" firstSheet="4" activeTab="10"/>
  </bookViews>
  <sheets>
    <sheet name="Решение уравнения 1" sheetId="1" r:id="rId1"/>
    <sheet name="Работа с базой данных" sheetId="2" r:id="rId2"/>
    <sheet name="Решение уравнения 2" sheetId="3" r:id="rId3"/>
    <sheet name="Решение уравнения 3" sheetId="4" r:id="rId4"/>
    <sheet name="Решение уравнения 4" sheetId="5" r:id="rId5"/>
    <sheet name="Решение уравнения 5" sheetId="6" r:id="rId6"/>
    <sheet name="Отчет" sheetId="7" r:id="rId7"/>
    <sheet name="Обслуживание населения" sheetId="8" r:id="rId8"/>
    <sheet name="Товарный баланс" sheetId="9" r:id="rId9"/>
    <sheet name="Счет-фактура" sheetId="10" r:id="rId10"/>
    <sheet name="Список студентов" sheetId="11" r:id="rId11"/>
  </sheets>
  <calcPr calcId="162913"/>
</workbook>
</file>

<file path=xl/calcChain.xml><?xml version="1.0" encoding="utf-8"?>
<calcChain xmlns="http://schemas.openxmlformats.org/spreadsheetml/2006/main">
  <c r="B7" i="6" l="1"/>
  <c r="B7" i="5" l="1"/>
  <c r="B7" i="4"/>
  <c r="B7" i="3"/>
  <c r="B7" i="1"/>
</calcChain>
</file>

<file path=xl/sharedStrings.xml><?xml version="1.0" encoding="utf-8"?>
<sst xmlns="http://schemas.openxmlformats.org/spreadsheetml/2006/main" count="121" uniqueCount="85">
  <si>
    <t>Решение уравнения y=a*x^3+b*sin(x)</t>
  </si>
  <si>
    <t>Коэффициенты</t>
  </si>
  <si>
    <t>Значения</t>
  </si>
  <si>
    <t>a</t>
  </si>
  <si>
    <t>b</t>
  </si>
  <si>
    <t>y</t>
  </si>
  <si>
    <t>x</t>
  </si>
  <si>
    <t>Список студентов направления 09.03.03</t>
  </si>
  <si>
    <t>№</t>
  </si>
  <si>
    <t>Фамилия</t>
  </si>
  <si>
    <t>группа</t>
  </si>
  <si>
    <t>адрес</t>
  </si>
  <si>
    <t>Решение линейного уравнения y = a*x + b*x</t>
  </si>
  <si>
    <t>Решение уравнения y=a*x^3+3b*sin(x)</t>
  </si>
  <si>
    <r>
      <t>Решение уравнения y=5a*x</t>
    </r>
    <r>
      <rPr>
        <b/>
        <vertAlign val="superscript"/>
        <sz val="11"/>
        <color rgb="FFFF0000"/>
        <rFont val="Calibri"/>
        <family val="2"/>
        <charset val="204"/>
        <scheme val="minor"/>
      </rPr>
      <t>1/3</t>
    </r>
    <r>
      <rPr>
        <b/>
        <sz val="11"/>
        <color rgb="FFFF0000"/>
        <rFont val="Calibri"/>
        <family val="2"/>
        <charset val="204"/>
        <scheme val="minor"/>
      </rPr>
      <t>+ 3b*tg(4x)</t>
    </r>
  </si>
  <si>
    <r>
      <t>Решение уравнения y=ln(</t>
    </r>
    <r>
      <rPr>
        <b/>
        <sz val="12"/>
        <color rgb="FFFF0000"/>
        <rFont val="Calibri"/>
        <family val="2"/>
        <charset val="204"/>
        <scheme val="minor"/>
      </rPr>
      <t>a</t>
    </r>
    <r>
      <rPr>
        <b/>
        <sz val="11"/>
        <color rgb="FFFF0000"/>
        <rFont val="Calibri"/>
        <family val="2"/>
        <charset val="204"/>
        <scheme val="minor"/>
      </rPr>
      <t>*x</t>
    </r>
    <r>
      <rPr>
        <b/>
        <vertAlign val="superscript"/>
        <sz val="11"/>
        <color rgb="FFFF0000"/>
        <rFont val="Calibri"/>
        <family val="2"/>
        <charset val="204"/>
        <scheme val="minor"/>
      </rPr>
      <t>3</t>
    </r>
    <r>
      <rPr>
        <b/>
        <sz val="11"/>
        <color rgb="FFFF0000"/>
        <rFont val="Calibri"/>
        <family val="2"/>
        <charset val="204"/>
        <scheme val="minor"/>
      </rPr>
      <t>) + 3b*cos(e</t>
    </r>
    <r>
      <rPr>
        <b/>
        <vertAlign val="superscript"/>
        <sz val="11"/>
        <color rgb="FFFF0000"/>
        <rFont val="Calibri"/>
        <family val="2"/>
        <charset val="204"/>
        <scheme val="minor"/>
      </rPr>
      <t>x</t>
    </r>
    <r>
      <rPr>
        <b/>
        <sz val="11"/>
        <color rgb="FFFF0000"/>
        <rFont val="Calibri"/>
        <family val="2"/>
        <charset val="204"/>
        <scheme val="minor"/>
      </rPr>
      <t>)</t>
    </r>
  </si>
  <si>
    <t xml:space="preserve">Отклонение фактического уровня издержек </t>
  </si>
  <si>
    <t>обращения от плана</t>
  </si>
  <si>
    <t>за месяц</t>
  </si>
  <si>
    <t>года</t>
  </si>
  <si>
    <t>№     n/n</t>
  </si>
  <si>
    <t>Общество</t>
  </si>
  <si>
    <t>Сумма издержек</t>
  </si>
  <si>
    <t>Товарооборот</t>
  </si>
  <si>
    <t>Уровень издержек, %</t>
  </si>
  <si>
    <t>Отклонение по уровню, +, -</t>
  </si>
  <si>
    <t>план.</t>
  </si>
  <si>
    <t>факт.</t>
  </si>
  <si>
    <t>март</t>
  </si>
  <si>
    <t>Численность обслуживаемого населения</t>
  </si>
  <si>
    <t xml:space="preserve">Наименование района </t>
  </si>
  <si>
    <t>Мужчины</t>
  </si>
  <si>
    <t>Женщины</t>
  </si>
  <si>
    <t>Дети</t>
  </si>
  <si>
    <t>В том числе дошкольники</t>
  </si>
  <si>
    <t>Итого</t>
  </si>
  <si>
    <t>область</t>
  </si>
  <si>
    <t>за</t>
  </si>
  <si>
    <t>год</t>
  </si>
  <si>
    <t>Товарный баланс</t>
  </si>
  <si>
    <t>кв.</t>
  </si>
  <si>
    <t>(тыс. руб.)</t>
  </si>
  <si>
    <t>Товарная группа</t>
  </si>
  <si>
    <t>Запас на начало периода</t>
  </si>
  <si>
    <t>Поступило</t>
  </si>
  <si>
    <t>Продано</t>
  </si>
  <si>
    <t>Запас на конец периода</t>
  </si>
  <si>
    <t xml:space="preserve">Итого: </t>
  </si>
  <si>
    <t>Счет - фактура</t>
  </si>
  <si>
    <t>на отпуск товара</t>
  </si>
  <si>
    <t>со склада</t>
  </si>
  <si>
    <t>межрайбазы</t>
  </si>
  <si>
    <t>Наименование и артикул товара</t>
  </si>
  <si>
    <t>Код</t>
  </si>
  <si>
    <t>Ед. измер.</t>
  </si>
  <si>
    <t>Количество</t>
  </si>
  <si>
    <t>Цена (руб.)</t>
  </si>
  <si>
    <t>Сумма (тыс. руб.)</t>
  </si>
  <si>
    <t>шт.</t>
  </si>
  <si>
    <t>кг.</t>
  </si>
  <si>
    <t xml:space="preserve">Зав. складом: </t>
  </si>
  <si>
    <t>Новиков Е.А.</t>
  </si>
  <si>
    <t xml:space="preserve">Гл. бухгалтер: </t>
  </si>
  <si>
    <t>Маркер 215514</t>
  </si>
  <si>
    <t>Мука 2324577</t>
  </si>
  <si>
    <t>Солнцева Т.К.</t>
  </si>
  <si>
    <t>Список студентов</t>
  </si>
  <si>
    <t>Специальности АСОИ и У</t>
  </si>
  <si>
    <t>курс</t>
  </si>
  <si>
    <t xml:space="preserve">Классный руководитель: </t>
  </si>
  <si>
    <t>Белянский Виктор</t>
  </si>
  <si>
    <t>Ул. Нижняя, 25</t>
  </si>
  <si>
    <t>Белянский В.В.</t>
  </si>
  <si>
    <t>Белянская Л.Н.</t>
  </si>
  <si>
    <t>с. Пески</t>
  </si>
  <si>
    <t>общежитие</t>
  </si>
  <si>
    <t>Бобылев Н.В.</t>
  </si>
  <si>
    <t>Бобылева Н.Ю.</t>
  </si>
  <si>
    <t>Гладков В.Д.</t>
  </si>
  <si>
    <t>Гладкова С.В.</t>
  </si>
  <si>
    <t>АС-42</t>
  </si>
  <si>
    <t xml:space="preserve">с. Красавка </t>
  </si>
  <si>
    <t>Бобылева Надежда</t>
  </si>
  <si>
    <t>Гладкова Наталья</t>
  </si>
  <si>
    <t>Фризен И.Г.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</si>
</sst>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0"/>
    <numFmt numFmtId="165" formatCode="0.00000000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color theme="8" tint="-0.249977111117893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i/>
      <sz val="11"/>
      <color theme="4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b/>
      <vertAlign val="superscript"/>
      <sz val="11"/>
      <color rgb="FFFF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3" fillId="0" borderId="0" xfId="0" applyFont="1"/>
    <xf numFmtId="1" fontId="2" fillId="0" borderId="0" xfId="0" applyNumberFormat="1" applyFon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0" fontId="4" fillId="0" borderId="0" xfId="0" applyFont="1" applyAlignment="1"/>
    <xf numFmtId="0" fontId="6" fillId="0" borderId="0" xfId="0" applyFont="1"/>
    <xf numFmtId="0" fontId="0" fillId="0" borderId="0" xfId="0" applyAlignment="1"/>
    <xf numFmtId="0" fontId="8" fillId="0" borderId="0" xfId="0" applyFont="1"/>
    <xf numFmtId="0" fontId="0" fillId="2" borderId="1" xfId="0" applyFill="1" applyBorder="1"/>
    <xf numFmtId="0" fontId="0" fillId="0" borderId="2" xfId="0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9" fillId="0" borderId="0" xfId="0" applyFont="1" applyAlignment="1">
      <alignment horizontal="center"/>
    </xf>
    <xf numFmtId="0" fontId="0" fillId="0" borderId="0" xfId="0" applyBorder="1"/>
    <xf numFmtId="0" fontId="9" fillId="0" borderId="19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6" xfId="0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0" fillId="3" borderId="2" xfId="0" applyFill="1" applyBorder="1"/>
    <xf numFmtId="0" fontId="9" fillId="3" borderId="2" xfId="0" applyFont="1" applyFill="1" applyBorder="1"/>
    <xf numFmtId="0" fontId="0" fillId="0" borderId="22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0" fontId="0" fillId="0" borderId="9" xfId="0" applyBorder="1" applyAlignment="1">
      <alignment horizontal="right" vertical="center" wrapText="1"/>
    </xf>
    <xf numFmtId="0" fontId="0" fillId="0" borderId="17" xfId="0" applyBorder="1" applyAlignment="1">
      <alignment horizontal="right" vertical="center" wrapText="1"/>
    </xf>
    <xf numFmtId="0" fontId="0" fillId="0" borderId="18" xfId="0" applyBorder="1" applyAlignment="1">
      <alignment horizontal="right" vertical="center" wrapText="1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600075</xdr:colOff>
          <xdr:row>3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Диалог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8"/>
  <sheetViews>
    <sheetView workbookViewId="0">
      <selection activeCell="A13" sqref="A13"/>
    </sheetView>
  </sheetViews>
  <sheetFormatPr defaultRowHeight="15" x14ac:dyDescent="0.25"/>
  <cols>
    <col min="1" max="1" width="27.85546875" customWidth="1"/>
    <col min="2" max="2" width="12.5703125" style="4" bestFit="1" customWidth="1"/>
  </cols>
  <sheetData>
    <row r="1" spans="1:3" x14ac:dyDescent="0.25">
      <c r="A1" s="54" t="s">
        <v>0</v>
      </c>
      <c r="B1" s="54"/>
      <c r="C1" s="10"/>
    </row>
    <row r="2" spans="1:3" x14ac:dyDescent="0.25">
      <c r="A2" s="1" t="s">
        <v>1</v>
      </c>
      <c r="B2" s="3" t="s">
        <v>2</v>
      </c>
    </row>
    <row r="4" spans="1:3" x14ac:dyDescent="0.25">
      <c r="A4" s="2" t="s">
        <v>3</v>
      </c>
      <c r="B4" s="4">
        <v>5</v>
      </c>
    </row>
    <row r="5" spans="1:3" x14ac:dyDescent="0.25">
      <c r="A5" s="2" t="s">
        <v>4</v>
      </c>
      <c r="B5" s="4">
        <v>12</v>
      </c>
    </row>
    <row r="6" spans="1:3" x14ac:dyDescent="0.25">
      <c r="A6" s="2" t="s">
        <v>5</v>
      </c>
      <c r="B6" s="4">
        <v>100</v>
      </c>
    </row>
    <row r="7" spans="1:3" x14ac:dyDescent="0.25">
      <c r="A7" s="2"/>
      <c r="B7" s="6">
        <f>B4*B8^3+B5*SIN(B8)</f>
        <v>99.999011241086095</v>
      </c>
    </row>
    <row r="8" spans="1:3" x14ac:dyDescent="0.25">
      <c r="A8" s="2" t="s">
        <v>6</v>
      </c>
      <c r="B8" s="5">
        <v>2.6635055857975249</v>
      </c>
    </row>
  </sheetData>
  <mergeCells count="1">
    <mergeCell ref="A1:B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3"/>
  <sheetViews>
    <sheetView workbookViewId="0">
      <selection activeCell="B11" sqref="B11"/>
    </sheetView>
  </sheetViews>
  <sheetFormatPr defaultRowHeight="15" x14ac:dyDescent="0.25"/>
  <cols>
    <col min="4" max="4" width="11.140625" customWidth="1"/>
  </cols>
  <sheetData>
    <row r="1" spans="1:4" x14ac:dyDescent="0.25">
      <c r="A1" s="55" t="s">
        <v>7</v>
      </c>
      <c r="B1" s="55"/>
      <c r="C1" s="55"/>
      <c r="D1" s="55"/>
    </row>
    <row r="3" spans="1:4" x14ac:dyDescent="0.25">
      <c r="A3" t="s">
        <v>8</v>
      </c>
      <c r="B3" t="s">
        <v>9</v>
      </c>
      <c r="C3" t="s">
        <v>10</v>
      </c>
      <c r="D3" t="s">
        <v>11</v>
      </c>
    </row>
  </sheetData>
  <mergeCells count="1">
    <mergeCell ref="A1:D1"/>
  </mergeCells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8"/>
  <sheetViews>
    <sheetView workbookViewId="0">
      <selection activeCell="A11" sqref="A11"/>
    </sheetView>
  </sheetViews>
  <sheetFormatPr defaultRowHeight="15" x14ac:dyDescent="0.25"/>
  <cols>
    <col min="1" max="1" width="27.28515625" customWidth="1"/>
    <col min="2" max="2" width="21" customWidth="1"/>
    <col min="4" max="4" width="17.42578125" customWidth="1"/>
  </cols>
  <sheetData>
    <row r="1" spans="1:4" ht="15.75" x14ac:dyDescent="0.25">
      <c r="A1" s="56" t="s">
        <v>12</v>
      </c>
      <c r="B1" s="56"/>
      <c r="C1" s="8"/>
      <c r="D1" s="8"/>
    </row>
    <row r="2" spans="1:4" x14ac:dyDescent="0.25">
      <c r="A2" s="7" t="s">
        <v>1</v>
      </c>
      <c r="B2" s="7" t="s">
        <v>2</v>
      </c>
    </row>
    <row r="4" spans="1:4" x14ac:dyDescent="0.25">
      <c r="A4" s="9" t="s">
        <v>3</v>
      </c>
      <c r="B4">
        <v>5</v>
      </c>
    </row>
    <row r="5" spans="1:4" x14ac:dyDescent="0.25">
      <c r="A5" s="9" t="s">
        <v>4</v>
      </c>
      <c r="B5">
        <v>3</v>
      </c>
    </row>
    <row r="6" spans="1:4" x14ac:dyDescent="0.25">
      <c r="A6" s="9" t="s">
        <v>5</v>
      </c>
      <c r="B6">
        <v>24</v>
      </c>
    </row>
    <row r="7" spans="1:4" x14ac:dyDescent="0.25">
      <c r="A7" s="9"/>
      <c r="B7">
        <f>B4*B8 + B5*B8</f>
        <v>24</v>
      </c>
    </row>
    <row r="8" spans="1:4" x14ac:dyDescent="0.25">
      <c r="A8" s="9" t="s">
        <v>6</v>
      </c>
      <c r="B8">
        <v>3</v>
      </c>
    </row>
  </sheetData>
  <mergeCells count="1">
    <mergeCell ref="A1:B1"/>
  </mergeCells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8"/>
  <sheetViews>
    <sheetView workbookViewId="0">
      <selection activeCell="B10" sqref="B10"/>
    </sheetView>
  </sheetViews>
  <sheetFormatPr defaultRowHeight="15" x14ac:dyDescent="0.25"/>
  <cols>
    <col min="1" max="1" width="24.140625" customWidth="1"/>
    <col min="2" max="2" width="19" customWidth="1"/>
  </cols>
  <sheetData>
    <row r="1" spans="1:2" x14ac:dyDescent="0.25">
      <c r="A1" s="54" t="s">
        <v>13</v>
      </c>
      <c r="B1" s="54"/>
    </row>
    <row r="2" spans="1:2" x14ac:dyDescent="0.25">
      <c r="A2" s="1" t="s">
        <v>1</v>
      </c>
      <c r="B2" s="3" t="s">
        <v>2</v>
      </c>
    </row>
    <row r="3" spans="1:2" x14ac:dyDescent="0.25">
      <c r="B3" s="4"/>
    </row>
    <row r="4" spans="1:2" x14ac:dyDescent="0.25">
      <c r="A4" s="2" t="s">
        <v>3</v>
      </c>
      <c r="B4" s="4">
        <v>3</v>
      </c>
    </row>
    <row r="5" spans="1:2" x14ac:dyDescent="0.25">
      <c r="A5" s="2" t="s">
        <v>4</v>
      </c>
      <c r="B5" s="4">
        <v>20</v>
      </c>
    </row>
    <row r="6" spans="1:2" x14ac:dyDescent="0.25">
      <c r="A6" s="2" t="s">
        <v>5</v>
      </c>
      <c r="B6" s="4">
        <v>41</v>
      </c>
    </row>
    <row r="7" spans="1:2" x14ac:dyDescent="0.25">
      <c r="A7" s="2"/>
      <c r="B7" s="6">
        <f>B4*B8^3 + 3*B5*SIN(B8)</f>
        <v>40.999303553063925</v>
      </c>
    </row>
    <row r="8" spans="1:2" x14ac:dyDescent="0.25">
      <c r="A8" s="2" t="s">
        <v>6</v>
      </c>
      <c r="B8" s="5">
        <v>0.72636919589961135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8"/>
  <sheetViews>
    <sheetView workbookViewId="0">
      <selection sqref="A1:B8"/>
    </sheetView>
  </sheetViews>
  <sheetFormatPr defaultRowHeight="15" x14ac:dyDescent="0.25"/>
  <cols>
    <col min="1" max="1" width="19" customWidth="1"/>
    <col min="2" max="2" width="18.5703125" customWidth="1"/>
  </cols>
  <sheetData>
    <row r="1" spans="1:2" ht="17.25" x14ac:dyDescent="0.25">
      <c r="A1" s="54" t="s">
        <v>14</v>
      </c>
      <c r="B1" s="54"/>
    </row>
    <row r="2" spans="1:2" x14ac:dyDescent="0.25">
      <c r="A2" s="1" t="s">
        <v>1</v>
      </c>
      <c r="B2" s="3" t="s">
        <v>2</v>
      </c>
    </row>
    <row r="3" spans="1:2" x14ac:dyDescent="0.25">
      <c r="B3" s="4"/>
    </row>
    <row r="4" spans="1:2" x14ac:dyDescent="0.25">
      <c r="A4" s="2" t="s">
        <v>3</v>
      </c>
      <c r="B4" s="4">
        <v>1</v>
      </c>
    </row>
    <row r="5" spans="1:2" x14ac:dyDescent="0.25">
      <c r="A5" s="2" t="s">
        <v>4</v>
      </c>
      <c r="B5" s="4">
        <v>3</v>
      </c>
    </row>
    <row r="6" spans="1:2" x14ac:dyDescent="0.25">
      <c r="A6" s="2" t="s">
        <v>5</v>
      </c>
      <c r="B6" s="4">
        <v>5</v>
      </c>
    </row>
    <row r="7" spans="1:2" x14ac:dyDescent="0.25">
      <c r="A7" s="2"/>
      <c r="B7" s="6">
        <f>5*B4*B8^(1/3)</f>
        <v>4.9998866566697728</v>
      </c>
    </row>
    <row r="8" spans="1:2" x14ac:dyDescent="0.25">
      <c r="A8" s="2" t="s">
        <v>6</v>
      </c>
      <c r="B8" s="5">
        <v>0.99993199554345713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8"/>
  <sheetViews>
    <sheetView workbookViewId="0">
      <selection activeCell="E15" sqref="E15"/>
    </sheetView>
  </sheetViews>
  <sheetFormatPr defaultRowHeight="15" x14ac:dyDescent="0.25"/>
  <cols>
    <col min="1" max="1" width="20.5703125" customWidth="1"/>
    <col min="2" max="2" width="21.85546875" customWidth="1"/>
  </cols>
  <sheetData>
    <row r="1" spans="1:2" ht="17.25" x14ac:dyDescent="0.25">
      <c r="A1" s="54" t="s">
        <v>15</v>
      </c>
      <c r="B1" s="54"/>
    </row>
    <row r="2" spans="1:2" x14ac:dyDescent="0.25">
      <c r="A2" s="1" t="s">
        <v>1</v>
      </c>
      <c r="B2" s="3" t="s">
        <v>2</v>
      </c>
    </row>
    <row r="3" spans="1:2" x14ac:dyDescent="0.25">
      <c r="B3" s="4"/>
    </row>
    <row r="4" spans="1:2" x14ac:dyDescent="0.25">
      <c r="A4" s="2" t="s">
        <v>3</v>
      </c>
      <c r="B4" s="4">
        <v>10</v>
      </c>
    </row>
    <row r="5" spans="1:2" x14ac:dyDescent="0.25">
      <c r="A5" s="2" t="s">
        <v>4</v>
      </c>
      <c r="B5" s="4">
        <v>2.2000000000000002</v>
      </c>
    </row>
    <row r="6" spans="1:2" x14ac:dyDescent="0.25">
      <c r="A6" s="2" t="s">
        <v>5</v>
      </c>
      <c r="B6" s="4">
        <v>60</v>
      </c>
    </row>
    <row r="7" spans="1:2" x14ac:dyDescent="0.25">
      <c r="A7" s="2"/>
      <c r="B7" s="6">
        <f>LOG(B4*B8^3) + 3*B5*COS(EXP(B8))</f>
        <v>1.1746219449068318</v>
      </c>
    </row>
    <row r="8" spans="1:2" x14ac:dyDescent="0.25">
      <c r="A8" s="2" t="s">
        <v>6</v>
      </c>
      <c r="B8" s="5">
        <v>0.17748792920741738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I11"/>
  <sheetViews>
    <sheetView workbookViewId="0">
      <selection activeCell="M27" sqref="M27"/>
    </sheetView>
  </sheetViews>
  <sheetFormatPr defaultRowHeight="15" x14ac:dyDescent="0.25"/>
  <cols>
    <col min="1" max="1" width="6.7109375" customWidth="1"/>
    <col min="2" max="2" width="18" customWidth="1"/>
    <col min="4" max="4" width="13.140625" customWidth="1"/>
  </cols>
  <sheetData>
    <row r="1" spans="1:9" ht="24.75" customHeight="1" x14ac:dyDescent="0.25">
      <c r="A1" s="57" t="s">
        <v>16</v>
      </c>
      <c r="B1" s="57"/>
      <c r="C1" s="57"/>
      <c r="D1" s="57"/>
      <c r="E1" s="57"/>
      <c r="F1" s="57"/>
      <c r="G1" s="57"/>
      <c r="H1" s="57"/>
      <c r="I1" s="57"/>
    </row>
    <row r="2" spans="1:9" ht="25.5" customHeight="1" x14ac:dyDescent="0.25">
      <c r="A2" s="57" t="s">
        <v>17</v>
      </c>
      <c r="B2" s="57"/>
      <c r="C2" s="57"/>
      <c r="D2" s="57"/>
      <c r="E2" s="57"/>
      <c r="F2" s="57"/>
      <c r="G2" s="57"/>
      <c r="H2" s="57"/>
      <c r="I2" s="57"/>
    </row>
    <row r="3" spans="1:9" ht="18.75" x14ac:dyDescent="0.3">
      <c r="D3" s="11" t="s">
        <v>18</v>
      </c>
      <c r="E3" s="12" t="s">
        <v>28</v>
      </c>
      <c r="G3" s="12">
        <v>2023</v>
      </c>
      <c r="H3" s="11" t="s">
        <v>19</v>
      </c>
    </row>
    <row r="4" spans="1:9" ht="15.75" thickBot="1" x14ac:dyDescent="0.3"/>
    <row r="5" spans="1:9" ht="28.5" customHeight="1" thickBot="1" x14ac:dyDescent="0.3">
      <c r="A5" s="58" t="s">
        <v>20</v>
      </c>
      <c r="B5" s="59" t="s">
        <v>21</v>
      </c>
      <c r="C5" s="59" t="s">
        <v>22</v>
      </c>
      <c r="D5" s="59"/>
      <c r="E5" s="59" t="s">
        <v>23</v>
      </c>
      <c r="F5" s="59"/>
      <c r="G5" s="58" t="s">
        <v>24</v>
      </c>
      <c r="H5" s="58"/>
      <c r="I5" s="58" t="s">
        <v>25</v>
      </c>
    </row>
    <row r="6" spans="1:9" ht="42.75" customHeight="1" thickBot="1" x14ac:dyDescent="0.3">
      <c r="A6" s="58"/>
      <c r="B6" s="59"/>
      <c r="C6" s="13" t="s">
        <v>26</v>
      </c>
      <c r="D6" s="13" t="s">
        <v>27</v>
      </c>
      <c r="E6" s="13" t="s">
        <v>26</v>
      </c>
      <c r="F6" s="13" t="s">
        <v>27</v>
      </c>
      <c r="G6" s="13" t="s">
        <v>26</v>
      </c>
      <c r="H6" s="13" t="s">
        <v>27</v>
      </c>
      <c r="I6" s="58"/>
    </row>
    <row r="7" spans="1:9" ht="15.75" thickBot="1" x14ac:dyDescent="0.3">
      <c r="A7" s="13">
        <v>1</v>
      </c>
      <c r="B7" s="13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</row>
    <row r="8" spans="1:9" ht="15.75" thickBot="1" x14ac:dyDescent="0.3">
      <c r="A8" s="15"/>
      <c r="B8" s="15"/>
      <c r="C8" s="15"/>
      <c r="D8" s="15"/>
      <c r="E8" s="15"/>
      <c r="F8" s="15"/>
      <c r="G8" s="15"/>
      <c r="H8" s="15"/>
      <c r="I8" s="15"/>
    </row>
    <row r="9" spans="1:9" ht="15.75" thickBot="1" x14ac:dyDescent="0.3">
      <c r="A9" s="15"/>
      <c r="B9" s="15"/>
      <c r="C9" s="15"/>
      <c r="D9" s="15"/>
      <c r="E9" s="15"/>
      <c r="F9" s="15"/>
      <c r="G9" s="15"/>
      <c r="H9" s="15"/>
      <c r="I9" s="15"/>
    </row>
    <row r="10" spans="1:9" ht="15.75" thickBot="1" x14ac:dyDescent="0.3">
      <c r="A10" s="15"/>
      <c r="B10" s="15"/>
      <c r="C10" s="15"/>
      <c r="D10" s="15"/>
      <c r="E10" s="15"/>
      <c r="F10" s="15"/>
      <c r="G10" s="15"/>
      <c r="H10" s="15"/>
      <c r="I10" s="15"/>
    </row>
    <row r="11" spans="1:9" ht="15.75" thickBot="1" x14ac:dyDescent="0.3">
      <c r="A11" s="14"/>
      <c r="B11" s="14"/>
      <c r="C11" s="14"/>
      <c r="D11" s="14"/>
      <c r="E11" s="14"/>
      <c r="F11" s="14"/>
      <c r="G11" s="14"/>
      <c r="H11" s="14"/>
      <c r="I11" s="14"/>
    </row>
  </sheetData>
  <mergeCells count="8">
    <mergeCell ref="A1:I1"/>
    <mergeCell ref="A2:I2"/>
    <mergeCell ref="A5:A6"/>
    <mergeCell ref="B5:B6"/>
    <mergeCell ref="C5:D5"/>
    <mergeCell ref="E5:F5"/>
    <mergeCell ref="G5:H5"/>
    <mergeCell ref="I5:I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8"/>
  <sheetViews>
    <sheetView workbookViewId="0">
      <selection activeCell="E17" sqref="E17"/>
    </sheetView>
  </sheetViews>
  <sheetFormatPr defaultRowHeight="15" x14ac:dyDescent="0.25"/>
  <cols>
    <col min="1" max="1" width="20.5703125" customWidth="1"/>
    <col min="2" max="2" width="16" customWidth="1"/>
    <col min="3" max="3" width="22.7109375" customWidth="1"/>
    <col min="4" max="4" width="12.5703125" customWidth="1"/>
    <col min="5" max="5" width="18.5703125" customWidth="1"/>
    <col min="6" max="6" width="16" customWidth="1"/>
  </cols>
  <sheetData>
    <row r="1" spans="1:7" ht="18.75" x14ac:dyDescent="0.25">
      <c r="A1" s="57" t="s">
        <v>29</v>
      </c>
      <c r="B1" s="57"/>
      <c r="C1" s="57"/>
      <c r="D1" s="57"/>
      <c r="E1" s="57"/>
      <c r="F1" s="57"/>
    </row>
    <row r="2" spans="1:7" ht="19.5" thickBot="1" x14ac:dyDescent="0.3">
      <c r="A2" s="25"/>
      <c r="B2" s="24"/>
      <c r="C2" s="24" t="s">
        <v>36</v>
      </c>
      <c r="D2" s="24"/>
      <c r="E2" s="24">
        <v>2023</v>
      </c>
      <c r="F2" s="24" t="s">
        <v>38</v>
      </c>
    </row>
    <row r="3" spans="1:7" ht="30" x14ac:dyDescent="0.25">
      <c r="A3" s="16" t="s">
        <v>8</v>
      </c>
      <c r="B3" s="17" t="s">
        <v>30</v>
      </c>
      <c r="C3" s="17" t="s">
        <v>31</v>
      </c>
      <c r="D3" s="17" t="s">
        <v>32</v>
      </c>
      <c r="E3" s="17" t="s">
        <v>33</v>
      </c>
      <c r="F3" s="18" t="s">
        <v>34</v>
      </c>
      <c r="G3" s="19" t="s">
        <v>35</v>
      </c>
    </row>
    <row r="4" spans="1:7" x14ac:dyDescent="0.25">
      <c r="A4" s="20">
        <v>1</v>
      </c>
      <c r="B4" s="21">
        <v>2</v>
      </c>
      <c r="C4" s="21">
        <v>3</v>
      </c>
      <c r="D4" s="21">
        <v>4</v>
      </c>
      <c r="E4" s="21">
        <v>5</v>
      </c>
      <c r="F4" s="22">
        <v>6</v>
      </c>
      <c r="G4" s="23">
        <v>7</v>
      </c>
    </row>
    <row r="5" spans="1:7" x14ac:dyDescent="0.25">
      <c r="A5" s="20"/>
      <c r="B5" s="21"/>
      <c r="C5" s="21"/>
      <c r="D5" s="21"/>
      <c r="E5" s="21"/>
      <c r="F5" s="22"/>
      <c r="G5" s="23"/>
    </row>
    <row r="6" spans="1:7" x14ac:dyDescent="0.25">
      <c r="A6" s="20"/>
      <c r="B6" s="21"/>
      <c r="C6" s="21"/>
      <c r="D6" s="21"/>
      <c r="E6" s="21"/>
      <c r="F6" s="22"/>
      <c r="G6" s="23"/>
    </row>
    <row r="7" spans="1:7" x14ac:dyDescent="0.25">
      <c r="A7" s="20"/>
      <c r="B7" s="21"/>
      <c r="C7" s="21"/>
      <c r="D7" s="21"/>
      <c r="E7" s="21"/>
      <c r="F7" s="22"/>
      <c r="G7" s="23"/>
    </row>
    <row r="8" spans="1:7" ht="15.75" thickBot="1" x14ac:dyDescent="0.3">
      <c r="A8" s="26"/>
      <c r="B8" s="27"/>
      <c r="C8" s="27"/>
      <c r="D8" s="27"/>
      <c r="E8" s="27"/>
      <c r="F8" s="28"/>
      <c r="G8" s="29"/>
    </row>
  </sheetData>
  <mergeCells count="1">
    <mergeCell ref="A1:F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F11"/>
  <sheetViews>
    <sheetView workbookViewId="0">
      <selection activeCell="G15" sqref="G15"/>
    </sheetView>
  </sheetViews>
  <sheetFormatPr defaultRowHeight="15" x14ac:dyDescent="0.25"/>
  <cols>
    <col min="6" max="6" width="14" customWidth="1"/>
  </cols>
  <sheetData>
    <row r="1" spans="1:6" ht="18.75" customHeight="1" x14ac:dyDescent="0.25">
      <c r="A1" s="60" t="s">
        <v>39</v>
      </c>
      <c r="B1" s="60"/>
      <c r="C1" s="60"/>
      <c r="D1" s="60"/>
      <c r="E1" s="60"/>
      <c r="F1" s="60"/>
    </row>
    <row r="2" spans="1:6" ht="19.5" thickBot="1" x14ac:dyDescent="0.3">
      <c r="A2" s="31" t="s">
        <v>37</v>
      </c>
      <c r="B2" s="31"/>
      <c r="C2" s="31" t="s">
        <v>40</v>
      </c>
      <c r="D2" s="31"/>
      <c r="E2" s="31" t="s">
        <v>19</v>
      </c>
      <c r="F2" s="31" t="s">
        <v>41</v>
      </c>
    </row>
    <row r="3" spans="1:6" ht="45.75" thickBot="1" x14ac:dyDescent="0.3">
      <c r="A3" s="37" t="s">
        <v>8</v>
      </c>
      <c r="B3" s="38" t="s">
        <v>42</v>
      </c>
      <c r="C3" s="38" t="s">
        <v>43</v>
      </c>
      <c r="D3" s="38" t="s">
        <v>44</v>
      </c>
      <c r="E3" s="38" t="s">
        <v>45</v>
      </c>
      <c r="F3" s="39" t="s">
        <v>46</v>
      </c>
    </row>
    <row r="4" spans="1:6" x14ac:dyDescent="0.25">
      <c r="A4" s="41">
        <v>1</v>
      </c>
      <c r="B4" s="42">
        <v>2</v>
      </c>
      <c r="C4" s="42">
        <v>3</v>
      </c>
      <c r="D4" s="42">
        <v>4</v>
      </c>
      <c r="E4" s="42">
        <v>5</v>
      </c>
      <c r="F4" s="43">
        <v>6</v>
      </c>
    </row>
    <row r="5" spans="1:6" x14ac:dyDescent="0.25">
      <c r="A5" s="44"/>
      <c r="B5" s="45"/>
      <c r="C5" s="45"/>
      <c r="D5" s="45"/>
      <c r="E5" s="45"/>
      <c r="F5" s="46"/>
    </row>
    <row r="6" spans="1:6" x14ac:dyDescent="0.25">
      <c r="A6" s="44"/>
      <c r="B6" s="45"/>
      <c r="C6" s="45"/>
      <c r="D6" s="45"/>
      <c r="E6" s="45"/>
      <c r="F6" s="46"/>
    </row>
    <row r="7" spans="1:6" ht="15" customHeight="1" x14ac:dyDescent="0.25">
      <c r="A7" s="44"/>
      <c r="B7" s="45"/>
      <c r="C7" s="45"/>
      <c r="D7" s="45"/>
      <c r="E7" s="45"/>
      <c r="F7" s="46"/>
    </row>
    <row r="8" spans="1:6" x14ac:dyDescent="0.25">
      <c r="A8" s="44"/>
      <c r="B8" s="45"/>
      <c r="C8" s="45"/>
      <c r="D8" s="45"/>
      <c r="E8" s="45"/>
      <c r="F8" s="46"/>
    </row>
    <row r="9" spans="1:6" ht="21.75" customHeight="1" x14ac:dyDescent="0.25">
      <c r="A9" s="44"/>
      <c r="B9" s="45"/>
      <c r="C9" s="45"/>
      <c r="D9" s="45"/>
      <c r="E9" s="45"/>
      <c r="F9" s="46"/>
    </row>
    <row r="10" spans="1:6" x14ac:dyDescent="0.25">
      <c r="A10" s="44"/>
      <c r="B10" s="45"/>
      <c r="C10" s="45"/>
      <c r="D10" s="45"/>
      <c r="E10" s="45"/>
      <c r="F10" s="46"/>
    </row>
    <row r="11" spans="1:6" ht="15.75" thickBot="1" x14ac:dyDescent="0.3">
      <c r="A11" s="47"/>
      <c r="B11" s="48"/>
      <c r="C11" s="48"/>
      <c r="D11" s="48"/>
      <c r="E11" s="48"/>
      <c r="F11" s="49"/>
    </row>
  </sheetData>
  <mergeCells count="1">
    <mergeCell ref="A1:F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20"/>
  <sheetViews>
    <sheetView workbookViewId="0">
      <selection activeCell="E12" sqref="E12"/>
    </sheetView>
  </sheetViews>
  <sheetFormatPr defaultRowHeight="15" x14ac:dyDescent="0.25"/>
  <cols>
    <col min="1" max="1" width="7.7109375" customWidth="1"/>
    <col min="2" max="2" width="17.5703125" customWidth="1"/>
    <col min="3" max="3" width="12.5703125" customWidth="1"/>
    <col min="4" max="4" width="13.85546875" customWidth="1"/>
    <col min="5" max="5" width="11.42578125" customWidth="1"/>
    <col min="6" max="6" width="14.42578125" customWidth="1"/>
    <col min="7" max="7" width="19.28515625" customWidth="1"/>
  </cols>
  <sheetData>
    <row r="1" spans="1:8" x14ac:dyDescent="0.25">
      <c r="A1" s="61" t="s">
        <v>48</v>
      </c>
      <c r="B1" s="61"/>
      <c r="C1" s="61"/>
      <c r="D1" s="61"/>
      <c r="E1" s="61"/>
      <c r="F1" s="61"/>
      <c r="G1" s="61"/>
    </row>
    <row r="2" spans="1:8" x14ac:dyDescent="0.25">
      <c r="A2" s="30"/>
      <c r="B2" s="35" t="s">
        <v>49</v>
      </c>
      <c r="C2" s="35" t="s">
        <v>50</v>
      </c>
      <c r="D2" s="35" t="s">
        <v>8</v>
      </c>
      <c r="E2" s="35">
        <v>21</v>
      </c>
      <c r="F2" s="35" t="s">
        <v>51</v>
      </c>
      <c r="G2" s="35"/>
      <c r="H2" s="35"/>
    </row>
    <row r="3" spans="1:8" ht="30" x14ac:dyDescent="0.25">
      <c r="A3" s="50" t="s">
        <v>8</v>
      </c>
      <c r="B3" s="50" t="s">
        <v>52</v>
      </c>
      <c r="C3" s="50" t="s">
        <v>53</v>
      </c>
      <c r="D3" s="50" t="s">
        <v>54</v>
      </c>
      <c r="E3" s="50" t="s">
        <v>55</v>
      </c>
      <c r="F3" s="50" t="s">
        <v>56</v>
      </c>
      <c r="G3" s="50" t="s">
        <v>57</v>
      </c>
    </row>
    <row r="4" spans="1:8" x14ac:dyDescent="0.25">
      <c r="A4" s="33">
        <v>1</v>
      </c>
      <c r="B4" s="33">
        <v>2</v>
      </c>
      <c r="C4" s="33">
        <v>3</v>
      </c>
      <c r="D4" s="33">
        <v>4</v>
      </c>
      <c r="E4" s="33">
        <v>5</v>
      </c>
      <c r="F4" s="33">
        <v>6</v>
      </c>
      <c r="G4" s="33">
        <v>7</v>
      </c>
    </row>
    <row r="5" spans="1:8" x14ac:dyDescent="0.25">
      <c r="A5" s="40">
        <v>1</v>
      </c>
      <c r="B5" s="40" t="s">
        <v>63</v>
      </c>
      <c r="C5" s="40">
        <v>32</v>
      </c>
      <c r="D5" s="40" t="s">
        <v>58</v>
      </c>
      <c r="E5" s="40">
        <v>5000</v>
      </c>
      <c r="F5" s="40">
        <v>40</v>
      </c>
      <c r="G5" s="33">
        <v>200</v>
      </c>
    </row>
    <row r="6" spans="1:8" x14ac:dyDescent="0.25">
      <c r="A6" s="40">
        <v>2</v>
      </c>
      <c r="B6" s="40" t="s">
        <v>64</v>
      </c>
      <c r="C6" s="40">
        <v>61</v>
      </c>
      <c r="D6" s="40" t="s">
        <v>59</v>
      </c>
      <c r="E6" s="40">
        <v>2000</v>
      </c>
      <c r="F6" s="40">
        <v>60</v>
      </c>
      <c r="G6" s="33">
        <v>120</v>
      </c>
    </row>
    <row r="7" spans="1:8" ht="15" customHeight="1" x14ac:dyDescent="0.25">
      <c r="A7" s="62" t="s">
        <v>47</v>
      </c>
      <c r="B7" s="62"/>
      <c r="C7" s="62"/>
      <c r="D7" s="62"/>
      <c r="E7" s="62"/>
      <c r="F7" s="62"/>
      <c r="G7" s="33">
        <v>320</v>
      </c>
    </row>
    <row r="8" spans="1:8" x14ac:dyDescent="0.25">
      <c r="A8" s="34"/>
      <c r="B8" s="34"/>
      <c r="C8" s="34"/>
      <c r="D8" s="34"/>
      <c r="E8" s="34"/>
      <c r="F8" s="34"/>
      <c r="G8" s="32"/>
    </row>
    <row r="9" spans="1:8" ht="15" customHeight="1" x14ac:dyDescent="0.25">
      <c r="A9" s="62" t="s">
        <v>60</v>
      </c>
      <c r="B9" s="62"/>
      <c r="C9" s="62"/>
      <c r="D9" s="62"/>
      <c r="E9" s="62"/>
      <c r="F9" s="62"/>
      <c r="G9" s="33" t="s">
        <v>61</v>
      </c>
    </row>
    <row r="10" spans="1:8" ht="15" customHeight="1" x14ac:dyDescent="0.25">
      <c r="A10" s="63" t="s">
        <v>62</v>
      </c>
      <c r="B10" s="64"/>
      <c r="C10" s="64"/>
      <c r="D10" s="64"/>
      <c r="E10" s="64"/>
      <c r="F10" s="65"/>
      <c r="G10" s="33" t="s">
        <v>65</v>
      </c>
    </row>
    <row r="11" spans="1:8" x14ac:dyDescent="0.25">
      <c r="A11" s="36"/>
      <c r="B11" s="36"/>
      <c r="C11" s="36"/>
      <c r="D11" s="36"/>
      <c r="E11" s="36"/>
      <c r="F11" s="36"/>
      <c r="G11" s="36"/>
    </row>
    <row r="12" spans="1:8" x14ac:dyDescent="0.25">
      <c r="A12" s="36"/>
      <c r="B12" s="36"/>
      <c r="C12" s="36"/>
      <c r="D12" s="36"/>
      <c r="E12" s="36"/>
      <c r="F12" s="36"/>
      <c r="G12" s="36"/>
    </row>
    <row r="13" spans="1:8" x14ac:dyDescent="0.25">
      <c r="A13" s="36"/>
      <c r="B13" s="36"/>
      <c r="C13" s="36"/>
      <c r="D13" s="36"/>
      <c r="E13" s="36"/>
      <c r="F13" s="36"/>
      <c r="G13" s="36"/>
    </row>
    <row r="14" spans="1:8" x14ac:dyDescent="0.25">
      <c r="A14" s="36"/>
      <c r="B14" s="36"/>
      <c r="C14" s="36"/>
      <c r="D14" s="36"/>
      <c r="E14" s="36"/>
      <c r="F14" s="36"/>
      <c r="G14" s="36"/>
    </row>
    <row r="15" spans="1:8" x14ac:dyDescent="0.25">
      <c r="A15" s="36"/>
      <c r="B15" s="36"/>
      <c r="C15" s="36"/>
      <c r="D15" s="36"/>
      <c r="E15" s="36"/>
      <c r="F15" s="36"/>
      <c r="G15" s="36"/>
    </row>
    <row r="16" spans="1:8" x14ac:dyDescent="0.25">
      <c r="A16" s="36"/>
      <c r="B16" s="36"/>
      <c r="C16" s="36"/>
      <c r="D16" s="36"/>
      <c r="E16" s="36"/>
      <c r="F16" s="36"/>
      <c r="G16" s="36"/>
    </row>
    <row r="17" spans="1:7" x14ac:dyDescent="0.25">
      <c r="A17" s="36"/>
      <c r="B17" s="36"/>
      <c r="C17" s="36"/>
      <c r="D17" s="36"/>
      <c r="E17" s="36"/>
      <c r="F17" s="36"/>
      <c r="G17" s="36"/>
    </row>
    <row r="18" spans="1:7" x14ac:dyDescent="0.25">
      <c r="A18" s="36"/>
      <c r="B18" s="36"/>
      <c r="C18" s="36"/>
      <c r="D18" s="36"/>
      <c r="E18" s="36"/>
      <c r="F18" s="36"/>
      <c r="G18" s="36"/>
    </row>
    <row r="19" spans="1:7" x14ac:dyDescent="0.25">
      <c r="A19" s="36"/>
      <c r="B19" s="36"/>
      <c r="C19" s="36"/>
      <c r="D19" s="36"/>
      <c r="E19" s="36"/>
      <c r="F19" s="36"/>
      <c r="G19" s="36"/>
    </row>
    <row r="20" spans="1:7" x14ac:dyDescent="0.25">
      <c r="A20" s="36"/>
      <c r="B20" s="36"/>
      <c r="C20" s="36"/>
      <c r="D20" s="36"/>
      <c r="E20" s="36"/>
      <c r="F20" s="36"/>
      <c r="G20" s="36"/>
    </row>
  </sheetData>
  <mergeCells count="4">
    <mergeCell ref="A1:G1"/>
    <mergeCell ref="A7:F7"/>
    <mergeCell ref="A9:F9"/>
    <mergeCell ref="A10:F10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G11"/>
  <sheetViews>
    <sheetView tabSelected="1" workbookViewId="0">
      <selection activeCell="E21" sqref="E21"/>
    </sheetView>
  </sheetViews>
  <sheetFormatPr defaultRowHeight="15" x14ac:dyDescent="0.25"/>
  <cols>
    <col min="2" max="2" width="22.42578125" customWidth="1"/>
    <col min="3" max="3" width="20" customWidth="1"/>
    <col min="4" max="4" width="20.7109375" customWidth="1"/>
    <col min="5" max="5" width="19.85546875" customWidth="1"/>
    <col min="7" max="7" width="16.5703125" customWidth="1"/>
  </cols>
  <sheetData>
    <row r="1" spans="1:7" ht="18.75" x14ac:dyDescent="0.3">
      <c r="A1" s="66" t="s">
        <v>66</v>
      </c>
      <c r="B1" s="66"/>
      <c r="C1" s="66"/>
      <c r="D1" s="66"/>
      <c r="E1" s="66"/>
      <c r="F1" s="66"/>
      <c r="G1" s="66"/>
    </row>
    <row r="2" spans="1:7" ht="16.5" thickBot="1" x14ac:dyDescent="0.3">
      <c r="A2" s="67" t="s">
        <v>67</v>
      </c>
      <c r="B2" s="67"/>
      <c r="C2" s="67"/>
      <c r="D2" s="67"/>
      <c r="E2" s="67"/>
      <c r="F2" s="67"/>
      <c r="G2" s="67"/>
    </row>
    <row r="3" spans="1:7" ht="15.75" thickBot="1" x14ac:dyDescent="0.3">
      <c r="A3" s="25" t="s">
        <v>68</v>
      </c>
      <c r="B3" s="51">
        <v>4</v>
      </c>
      <c r="D3" s="25" t="s">
        <v>10</v>
      </c>
      <c r="F3" s="51" t="s">
        <v>80</v>
      </c>
    </row>
    <row r="4" spans="1:7" ht="15.75" thickBot="1" x14ac:dyDescent="0.3"/>
    <row r="5" spans="1:7" ht="15.75" thickBot="1" x14ac:dyDescent="0.3">
      <c r="A5" s="52"/>
      <c r="B5" s="52"/>
      <c r="C5" s="51"/>
      <c r="D5" s="52"/>
      <c r="E5" s="52"/>
      <c r="F5" s="52"/>
      <c r="G5" s="52"/>
    </row>
    <row r="6" spans="1:7" x14ac:dyDescent="0.25">
      <c r="A6" s="53">
        <v>1</v>
      </c>
      <c r="B6" s="53" t="s">
        <v>70</v>
      </c>
      <c r="C6" s="53">
        <v>1986</v>
      </c>
      <c r="D6" s="53" t="s">
        <v>81</v>
      </c>
      <c r="E6" s="53" t="s">
        <v>71</v>
      </c>
      <c r="F6" s="53" t="s">
        <v>72</v>
      </c>
      <c r="G6" s="53" t="s">
        <v>73</v>
      </c>
    </row>
    <row r="7" spans="1:7" x14ac:dyDescent="0.25">
      <c r="A7" s="53">
        <v>2</v>
      </c>
      <c r="B7" s="53" t="s">
        <v>82</v>
      </c>
      <c r="C7" s="53">
        <v>1985</v>
      </c>
      <c r="D7" s="53" t="s">
        <v>74</v>
      </c>
      <c r="E7" s="53" t="s">
        <v>75</v>
      </c>
      <c r="F7" s="53" t="s">
        <v>76</v>
      </c>
      <c r="G7" s="53" t="s">
        <v>77</v>
      </c>
    </row>
    <row r="8" spans="1:7" x14ac:dyDescent="0.25">
      <c r="A8" s="53">
        <v>3</v>
      </c>
      <c r="B8" s="53" t="s">
        <v>83</v>
      </c>
      <c r="C8" s="53">
        <v>1986</v>
      </c>
      <c r="D8" s="53" t="s">
        <v>74</v>
      </c>
      <c r="E8" s="53" t="s">
        <v>75</v>
      </c>
      <c r="F8" s="53" t="s">
        <v>78</v>
      </c>
      <c r="G8" s="53" t="s">
        <v>79</v>
      </c>
    </row>
    <row r="9" spans="1:7" x14ac:dyDescent="0.25">
      <c r="A9" s="53"/>
      <c r="B9" s="53"/>
      <c r="C9" s="53"/>
      <c r="D9" s="53"/>
      <c r="E9" s="53"/>
      <c r="F9" s="53"/>
      <c r="G9" s="53"/>
    </row>
    <row r="10" spans="1:7" x14ac:dyDescent="0.25">
      <c r="A10" s="53"/>
      <c r="B10" s="53"/>
      <c r="C10" s="53"/>
      <c r="D10" s="53"/>
      <c r="E10" s="53"/>
      <c r="F10" s="53"/>
      <c r="G10" s="53"/>
    </row>
    <row r="11" spans="1:7" x14ac:dyDescent="0.25">
      <c r="A11" s="53"/>
      <c r="B11" s="53" t="s">
        <v>69</v>
      </c>
      <c r="C11" s="53"/>
      <c r="D11" s="53" t="s">
        <v>84</v>
      </c>
      <c r="E11" s="53"/>
      <c r="F11" s="53"/>
      <c r="G11" s="53"/>
    </row>
  </sheetData>
  <mergeCells count="2">
    <mergeCell ref="A1:G1"/>
    <mergeCell ref="A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Кнопка1_Щелчок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Решение уравнения 1</vt:lpstr>
      <vt:lpstr>Работа с базой данных</vt:lpstr>
      <vt:lpstr>Решение уравнения 2</vt:lpstr>
      <vt:lpstr>Решение уравнения 3</vt:lpstr>
      <vt:lpstr>Решение уравнения 4</vt:lpstr>
      <vt:lpstr>Решение уравнения 5</vt:lpstr>
      <vt:lpstr>Отчет</vt:lpstr>
      <vt:lpstr>Обслуживание населения</vt:lpstr>
      <vt:lpstr>Товарный баланс</vt:lpstr>
      <vt:lpstr>Счет-фактура</vt:lpstr>
      <vt:lpstr>Список студентов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2023-12-03T16:37:09Z</dcterms:modified>
</cp:coreProperties>
</file>